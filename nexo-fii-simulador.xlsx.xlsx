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2fa5b0dab21d53/Documentos/"/>
    </mc:Choice>
  </mc:AlternateContent>
  <xr:revisionPtr revIDLastSave="3" documentId="8_{C180F148-9BE5-4ED8-A35C-DAB4D1B55610}" xr6:coauthVersionLast="47" xr6:coauthVersionMax="47" xr10:uidLastSave="{6E78392F-9BCF-40A0-8A37-A1FE22271978}"/>
  <bookViews>
    <workbookView xWindow="-120" yWindow="-120" windowWidth="20730" windowHeight="11040" xr2:uid="{B57380C1-BBF2-4EE2-8B48-ACE51069002A}"/>
  </bookViews>
  <sheets>
    <sheet name="Simulador FII" sheetId="1" r:id="rId1"/>
    <sheet name="Apoio" sheetId="2" r:id="rId2"/>
  </sheets>
  <definedNames>
    <definedName name="aporte">'Simulador FII'!$D$16</definedName>
    <definedName name="patrimonio">'Simulador FII'!$D$19</definedName>
    <definedName name="qtd_anos">'Simulador FII'!$D$17</definedName>
    <definedName name="rendimento_carteira">'Simulador FII'!$D$12</definedName>
    <definedName name="salario">'Simulador FII'!$D$11</definedName>
    <definedName name="sugestao_investimento">'Simulador FII'!$D$13</definedName>
    <definedName name="taxa_mensal">'Simulador FII'!$D$18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  <c r="C38" i="1"/>
  <c r="B17" i="2"/>
  <c r="B18" i="2"/>
  <c r="B19" i="2"/>
  <c r="B20" i="2"/>
  <c r="B21" i="2"/>
  <c r="B16" i="2"/>
  <c r="B11" i="2"/>
  <c r="B12" i="2"/>
  <c r="B13" i="2"/>
  <c r="B14" i="2"/>
  <c r="B15" i="2"/>
  <c r="B10" i="2"/>
  <c r="B5" i="2"/>
  <c r="B6" i="2"/>
  <c r="B7" i="2"/>
  <c r="C41" i="1" s="1"/>
  <c r="B8" i="2"/>
  <c r="B9" i="2"/>
  <c r="B4" i="2"/>
  <c r="D13" i="1"/>
  <c r="H5" i="2" l="1"/>
  <c r="C44" i="1"/>
  <c r="D44" i="1" s="1"/>
  <c r="C46" i="1"/>
  <c r="C43" i="1"/>
  <c r="D43" i="1" s="1"/>
  <c r="C42" i="1"/>
  <c r="C45" i="1"/>
  <c r="D45" i="1" s="1"/>
  <c r="C23" i="1"/>
  <c r="D23" i="1" s="1"/>
  <c r="C27" i="1"/>
  <c r="D27" i="1" s="1"/>
  <c r="D41" i="1"/>
  <c r="D46" i="1"/>
  <c r="D42" i="1"/>
  <c r="D47" i="1" l="1"/>
  <c r="C24" i="1"/>
  <c r="D24" i="1" s="1"/>
  <c r="C25" i="1"/>
  <c r="D25" i="1" s="1"/>
  <c r="C26" i="1"/>
  <c r="D26" i="1" s="1"/>
  <c r="D19" i="1"/>
  <c r="D20" i="1" l="1"/>
  <c r="C33" i="1"/>
  <c r="C34" i="1" l="1"/>
  <c r="C35" i="1"/>
</calcChain>
</file>

<file path=xl/sharedStrings.xml><?xml version="1.0" encoding="utf-8"?>
<sst xmlns="http://schemas.openxmlformats.org/spreadsheetml/2006/main" count="82" uniqueCount="46">
  <si>
    <t>Patrimônio acumulado?</t>
  </si>
  <si>
    <t>Dividendos mensais?</t>
  </si>
  <si>
    <t>Quanto em 2 anos?</t>
  </si>
  <si>
    <t>Quanto em 5 anos?</t>
  </si>
  <si>
    <t>Quanto em 10 anos?</t>
  </si>
  <si>
    <t>Quanto em 15 anos?</t>
  </si>
  <si>
    <t>Quanto em 20 anos?</t>
  </si>
  <si>
    <t xml:space="preserve">Cenários </t>
  </si>
  <si>
    <t>Configurações</t>
  </si>
  <si>
    <t>Dividendo</t>
  </si>
  <si>
    <t xml:space="preserve">Perfil </t>
  </si>
  <si>
    <t>Agressivo</t>
  </si>
  <si>
    <t>Valor a ser investido por mês</t>
  </si>
  <si>
    <t>TIPO DE FII</t>
  </si>
  <si>
    <t>PERCENTUAL SUGERIDO</t>
  </si>
  <si>
    <t>VALORES</t>
  </si>
  <si>
    <t xml:space="preserve">Papel </t>
  </si>
  <si>
    <t>Tijolo</t>
  </si>
  <si>
    <t xml:space="preserve">Híbridos </t>
  </si>
  <si>
    <t>FOFs</t>
  </si>
  <si>
    <t>Desenvolvimento</t>
  </si>
  <si>
    <t xml:space="preserve">Hotelarias </t>
  </si>
  <si>
    <t>%</t>
  </si>
  <si>
    <t>TOTAL</t>
  </si>
  <si>
    <t>PERFIL</t>
  </si>
  <si>
    <t>Conservador</t>
  </si>
  <si>
    <t>CHAVE</t>
  </si>
  <si>
    <t>Moderado</t>
  </si>
  <si>
    <t>Moderado-Tijolo</t>
  </si>
  <si>
    <t xml:space="preserve">Renda Mensal </t>
  </si>
  <si>
    <t>Quanto deseja investir por mês?</t>
  </si>
  <si>
    <t>Qual taxa de rendimento mensal deseja simular?</t>
  </si>
  <si>
    <t>*Os valores apresentados são estimativas educacionais e não representam garantia de retorno.</t>
  </si>
  <si>
    <t>MINHA META DE RENDA</t>
  </si>
  <si>
    <t>Minha meta de renda mensal:</t>
  </si>
  <si>
    <t>Patrimônio necessário:</t>
  </si>
  <si>
    <t>Patrimônio projetado:</t>
  </si>
  <si>
    <t>Quanta falta para alcançar a meta?</t>
  </si>
  <si>
    <t>Percentual alcançado:</t>
  </si>
  <si>
    <t>Aporte Mensal Sugerido (30% da Renda Mensal)</t>
  </si>
  <si>
    <t xml:space="preserve">Investimento Mensal </t>
  </si>
  <si>
    <t>Clique aqui para selecionar!</t>
  </si>
  <si>
    <t>Patrimônio</t>
  </si>
  <si>
    <t>Rendimento Carteira</t>
  </si>
  <si>
    <t>Por quanto tempo? (anos)</t>
  </si>
  <si>
    <t>Taxa de dividendos mensais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</si>
</sst>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48C82"/>
      <name val="Segoe UI Light"/>
      <family val="2"/>
    </font>
    <font>
      <b/>
      <sz val="20"/>
      <color theme="0"/>
      <name val="Segoe UI"/>
      <family val="2"/>
    </font>
    <font>
      <sz val="11"/>
      <color theme="1"/>
      <name val="Segoe UI Light"/>
      <family val="2"/>
    </font>
    <font>
      <sz val="12"/>
      <color theme="1"/>
      <name val="Segoe UI Light"/>
      <family val="2"/>
    </font>
    <font>
      <b/>
      <sz val="12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theme="0"/>
      <name val="Segoe UI"/>
      <family val="2"/>
    </font>
    <font>
      <b/>
      <sz val="15"/>
      <color rgb="FF248C82"/>
      <name val="Segoe UI"/>
      <family val="2"/>
    </font>
    <font>
      <sz val="10"/>
      <color theme="1"/>
      <name val="Segoe UI Light"/>
      <family val="2"/>
    </font>
    <font>
      <sz val="11"/>
      <color rgb="FF9C5700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248C8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2CA8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medium">
        <color theme="2" tint="-9.9948118533890809E-2"/>
      </left>
      <right style="medium">
        <color rgb="FF248C82"/>
      </right>
      <top/>
      <bottom style="medium">
        <color theme="2" tint="-9.9948118533890809E-2"/>
      </bottom>
      <diagonal/>
    </border>
    <border>
      <left style="medium">
        <color rgb="FF248C8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rgb="FF248C8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rgb="FF248C82"/>
      </left>
      <right style="medium">
        <color theme="2" tint="-9.9948118533890809E-2"/>
      </right>
      <top style="medium">
        <color theme="2" tint="-9.9948118533890809E-2"/>
      </top>
      <bottom style="medium">
        <color rgb="FF248C82"/>
      </bottom>
      <diagonal/>
    </border>
    <border>
      <left style="medium">
        <color theme="2" tint="-9.9948118533890809E-2"/>
      </left>
      <right style="medium">
        <color rgb="FF248C82"/>
      </right>
      <top style="medium">
        <color theme="2" tint="-9.9948118533890809E-2"/>
      </top>
      <bottom style="medium">
        <color rgb="FF248C8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248C82"/>
      </left>
      <right/>
      <top style="medium">
        <color rgb="FF248C8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thin">
        <color theme="2" tint="-9.9948118533890809E-2"/>
      </left>
      <right style="medium">
        <color rgb="FF02CA87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rgb="FF02CA87"/>
      </right>
      <top style="thin">
        <color theme="2" tint="-9.9948118533890809E-2"/>
      </top>
      <bottom style="medium">
        <color rgb="FF02CA87"/>
      </bottom>
      <diagonal/>
    </border>
    <border>
      <left style="medium">
        <color rgb="FF02CA87"/>
      </left>
      <right/>
      <top/>
      <bottom/>
      <diagonal/>
    </border>
    <border>
      <left style="medium">
        <color theme="2" tint="-9.9948118533890809E-2"/>
      </left>
      <right/>
      <top style="medium">
        <color theme="2" tint="-9.9948118533890809E-2"/>
      </top>
      <bottom style="medium">
        <color rgb="FF248C82"/>
      </bottom>
      <diagonal/>
    </border>
    <border>
      <left style="medium">
        <color theme="2" tint="-9.9948118533890809E-2"/>
      </left>
      <right style="medium">
        <color rgb="FF248C82"/>
      </right>
      <top style="medium">
        <color theme="2" tint="-9.9948118533890809E-2"/>
      </top>
      <bottom/>
      <diagonal/>
    </border>
    <border>
      <left/>
      <right style="medium">
        <color rgb="FF248C82"/>
      </right>
      <top style="medium">
        <color rgb="FF248C82"/>
      </top>
      <bottom style="medium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rgb="FF02CA87"/>
      </bottom>
      <diagonal/>
    </border>
    <border>
      <left style="medium">
        <color rgb="FF02CA87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rgb="FF02CA87"/>
      </left>
      <right/>
      <top style="thin">
        <color theme="2" tint="-9.9948118533890809E-2"/>
      </top>
      <bottom style="medium">
        <color rgb="FF02CA87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rgb="FF248C82"/>
      </left>
      <right/>
      <top/>
      <bottom/>
      <diagonal/>
    </border>
    <border>
      <left style="medium">
        <color rgb="FF248C82"/>
      </left>
      <right/>
      <top/>
      <bottom style="medium">
        <color theme="2" tint="-9.9948118533890809E-2"/>
      </bottom>
      <diagonal/>
    </border>
    <border>
      <left style="medium">
        <color rgb="FF248C82"/>
      </left>
      <right/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rgb="FF248C82"/>
      </left>
      <right/>
      <top style="medium">
        <color theme="2" tint="-9.9948118533890809E-2"/>
      </top>
      <bottom style="medium">
        <color rgb="FF248C82"/>
      </bottom>
      <diagonal/>
    </border>
    <border>
      <left/>
      <right style="medium">
        <color theme="2" tint="-9.9948118533890809E-2"/>
      </right>
      <top/>
      <bottom style="medium">
        <color theme="2" tint="-9.9948118533890809E-2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rgb="FF248C82"/>
      </bottom>
      <diagonal/>
    </border>
    <border>
      <left style="medium">
        <color rgb="FF02CA87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medium">
        <color rgb="FF02CA87"/>
      </right>
      <top/>
      <bottom style="thin">
        <color theme="2" tint="-9.9948118533890809E-2"/>
      </bottom>
      <diagonal/>
    </border>
    <border>
      <left/>
      <right style="medium">
        <color rgb="FF248C82"/>
      </right>
      <top/>
      <bottom/>
      <diagonal/>
    </border>
    <border>
      <left/>
      <right/>
      <top style="thick">
        <color rgb="FF248C82"/>
      </top>
      <bottom/>
      <diagonal/>
    </border>
    <border>
      <left style="medium">
        <color rgb="FF248C82"/>
      </left>
      <right style="medium">
        <color theme="0" tint="-0.14996795556505021"/>
      </right>
      <top style="medium">
        <color theme="0" tint="-0.14996795556505021"/>
      </top>
      <bottom style="medium">
        <color rgb="FF248C8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rgb="FF248C82"/>
      </bottom>
      <diagonal/>
    </border>
    <border>
      <left style="medium">
        <color theme="0" tint="-0.14996795556505021"/>
      </left>
      <right style="medium">
        <color rgb="FF248C82"/>
      </right>
      <top style="medium">
        <color theme="0" tint="-0.14996795556505021"/>
      </top>
      <bottom style="medium">
        <color rgb="FF248C82"/>
      </bottom>
      <diagonal/>
    </border>
    <border>
      <left style="medium">
        <color rgb="FF248C82"/>
      </left>
      <right/>
      <top style="medium">
        <color rgb="FF248C82"/>
      </top>
      <bottom style="medium">
        <color theme="0" tint="-0.14996795556505021"/>
      </bottom>
      <diagonal/>
    </border>
    <border>
      <left/>
      <right style="medium">
        <color rgb="FF248C82"/>
      </right>
      <top style="medium">
        <color rgb="FF248C82"/>
      </top>
      <bottom style="medium">
        <color theme="0" tint="-0.14996795556505021"/>
      </bottom>
      <diagonal/>
    </border>
    <border>
      <left style="thick">
        <color rgb="FF248C8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248C8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rgb="FF248C82"/>
      </left>
      <right style="thin">
        <color theme="2" tint="-9.9948118533890809E-2"/>
      </right>
      <top style="thin">
        <color theme="2" tint="-9.9948118533890809E-2"/>
      </top>
      <bottom style="thick">
        <color rgb="FF248C8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ck">
        <color rgb="FF248C82"/>
      </bottom>
      <diagonal/>
    </border>
    <border>
      <left style="thin">
        <color theme="2" tint="-9.9948118533890809E-2"/>
      </left>
      <right style="thick">
        <color rgb="FF248C82"/>
      </right>
      <top style="thin">
        <color theme="2" tint="-9.9948118533890809E-2"/>
      </top>
      <bottom style="thick">
        <color rgb="FF248C82"/>
      </bottom>
      <diagonal/>
    </border>
    <border>
      <left style="thick">
        <color rgb="FF248C8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248C82"/>
      </right>
      <top/>
      <bottom style="thin">
        <color theme="2" tint="-9.9948118533890809E-2"/>
      </bottom>
      <diagonal/>
    </border>
    <border>
      <left style="thick">
        <color rgb="FF248C82"/>
      </left>
      <right style="thin">
        <color theme="2" tint="-9.9948118533890809E-2"/>
      </right>
      <top style="thick">
        <color rgb="FF248C82"/>
      </top>
      <bottom style="thick">
        <color rgb="FF248C8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ck">
        <color rgb="FF248C82"/>
      </top>
      <bottom style="thick">
        <color rgb="FF248C82"/>
      </bottom>
      <diagonal/>
    </border>
    <border>
      <left style="thin">
        <color theme="2" tint="-9.9948118533890809E-2"/>
      </left>
      <right style="thick">
        <color rgb="FF248C82"/>
      </right>
      <top style="thick">
        <color rgb="FF248C82"/>
      </top>
      <bottom style="thick">
        <color rgb="FF248C82"/>
      </bottom>
      <diagonal/>
    </border>
    <border>
      <left/>
      <right/>
      <top style="medium">
        <color rgb="FF248C82"/>
      </top>
      <bottom/>
      <diagonal/>
    </border>
    <border>
      <left style="medium">
        <color rgb="FF248C82"/>
      </left>
      <right style="medium">
        <color theme="2" tint="-9.9948118533890809E-2"/>
      </right>
      <top style="medium">
        <color theme="0" tint="-0.14996795556505021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0" tint="-0.14996795556505021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rgb="FF248C82"/>
      </right>
      <top style="medium">
        <color theme="0" tint="-0.14996795556505021"/>
      </top>
      <bottom style="medium">
        <color theme="2" tint="-9.9948118533890809E-2"/>
      </bottom>
      <diagonal/>
    </border>
    <border>
      <left style="medium">
        <color rgb="FF248C82"/>
      </left>
      <right style="medium">
        <color theme="2" tint="-9.9948118533890809E-2"/>
      </right>
      <top style="medium">
        <color theme="2" tint="-9.9948118533890809E-2"/>
      </top>
      <bottom style="medium">
        <color theme="0" tint="-0.14996795556505021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0" tint="-0.14996795556505021"/>
      </bottom>
      <diagonal/>
    </border>
    <border>
      <left style="medium">
        <color theme="2" tint="-9.9948118533890809E-2"/>
      </left>
      <right style="medium">
        <color rgb="FF248C82"/>
      </right>
      <top style="medium">
        <color theme="2" tint="-9.9948118533890809E-2"/>
      </top>
      <bottom style="medium">
        <color theme="0" tint="-0.14996795556505021"/>
      </bottom>
      <diagonal/>
    </border>
    <border>
      <left/>
      <right/>
      <top style="medium">
        <color rgb="FF248C82"/>
      </top>
      <bottom style="medium">
        <color theme="0" tint="-0.14996795556505021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rgb="FF248C82"/>
      </left>
      <right style="medium">
        <color rgb="FF248C82"/>
      </right>
      <top style="medium">
        <color rgb="FF248C82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7" fillId="5" borderId="0" applyNumberFormat="0" applyBorder="0" applyAlignment="0" applyProtection="0"/>
  </cellStyleXfs>
  <cellXfs count="84">
    <xf numFmtId="0" fontId="0" fillId="0" borderId="0" xfId="0"/>
    <xf numFmtId="9" fontId="0" fillId="0" borderId="0" xfId="1" applyFont="1" applyAlignment="1">
      <alignment horizontal="center" vertical="center"/>
    </xf>
    <xf numFmtId="0" fontId="0" fillId="0" borderId="12" xfId="0" applyBorder="1"/>
    <xf numFmtId="0" fontId="0" fillId="3" borderId="19" xfId="0" applyFill="1" applyBorder="1"/>
    <xf numFmtId="0" fontId="0" fillId="3" borderId="16" xfId="0" applyFill="1" applyBorder="1"/>
    <xf numFmtId="0" fontId="4" fillId="3" borderId="25" xfId="0" applyFont="1" applyFill="1" applyBorder="1" applyAlignment="1">
      <alignment vertical="center"/>
    </xf>
    <xf numFmtId="0" fontId="4" fillId="3" borderId="26" xfId="0" applyFont="1" applyFill="1" applyBorder="1" applyAlignment="1">
      <alignment vertical="center"/>
    </xf>
    <xf numFmtId="0" fontId="8" fillId="0" borderId="46" xfId="4" applyFont="1" applyBorder="1"/>
    <xf numFmtId="0" fontId="8" fillId="0" borderId="47" xfId="4" applyFont="1" applyBorder="1"/>
    <xf numFmtId="0" fontId="8" fillId="0" borderId="48" xfId="4" applyFont="1" applyFill="1" applyBorder="1" applyAlignment="1">
      <alignment horizontal="center" vertical="center"/>
    </xf>
    <xf numFmtId="0" fontId="2" fillId="0" borderId="0" xfId="0" applyFont="1"/>
    <xf numFmtId="8" fontId="2" fillId="8" borderId="0" xfId="0" applyNumberFormat="1" applyFont="1" applyFill="1" applyAlignment="1">
      <alignment horizontal="center" vertical="center"/>
    </xf>
    <xf numFmtId="0" fontId="0" fillId="8" borderId="0" xfId="0" applyFill="1"/>
    <xf numFmtId="0" fontId="0" fillId="0" borderId="49" xfId="0" applyBorder="1"/>
    <xf numFmtId="0" fontId="10" fillId="3" borderId="17" xfId="0" applyFont="1" applyFill="1" applyBorder="1"/>
    <xf numFmtId="0" fontId="10" fillId="3" borderId="18" xfId="0" applyFont="1" applyFill="1" applyBorder="1"/>
    <xf numFmtId="0" fontId="12" fillId="3" borderId="22" xfId="0" applyFont="1" applyFill="1" applyBorder="1" applyAlignment="1">
      <alignment vertical="center"/>
    </xf>
    <xf numFmtId="0" fontId="12" fillId="3" borderId="23" xfId="0" applyFont="1" applyFill="1" applyBorder="1" applyAlignment="1">
      <alignment vertical="center"/>
    </xf>
    <xf numFmtId="0" fontId="13" fillId="0" borderId="0" xfId="0" applyFont="1"/>
    <xf numFmtId="164" fontId="10" fillId="0" borderId="10" xfId="2" applyNumberFormat="1" applyFont="1" applyBorder="1" applyAlignment="1">
      <alignment horizontal="center" vertical="center"/>
    </xf>
    <xf numFmtId="10" fontId="10" fillId="0" borderId="10" xfId="1" applyNumberFormat="1" applyFont="1" applyBorder="1" applyAlignment="1">
      <alignment horizontal="center" vertical="center"/>
    </xf>
    <xf numFmtId="164" fontId="10" fillId="0" borderId="11" xfId="2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/>
    </xf>
    <xf numFmtId="10" fontId="13" fillId="0" borderId="3" xfId="1" applyNumberFormat="1" applyFont="1" applyBorder="1" applyAlignment="1">
      <alignment horizontal="center" vertical="center"/>
    </xf>
    <xf numFmtId="8" fontId="13" fillId="3" borderId="3" xfId="0" applyNumberFormat="1" applyFont="1" applyFill="1" applyBorder="1" applyAlignment="1">
      <alignment horizontal="center" vertical="center"/>
    </xf>
    <xf numFmtId="8" fontId="13" fillId="3" borderId="5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/>
    </xf>
    <xf numFmtId="8" fontId="13" fillId="3" borderId="30" xfId="0" applyNumberFormat="1" applyFont="1" applyFill="1" applyBorder="1" applyAlignment="1">
      <alignment horizontal="center" vertical="center"/>
    </xf>
    <xf numFmtId="8" fontId="13" fillId="3" borderId="14" xfId="0" applyNumberFormat="1" applyFont="1" applyFill="1" applyBorder="1" applyAlignment="1">
      <alignment horizontal="center" vertical="center"/>
    </xf>
    <xf numFmtId="8" fontId="13" fillId="3" borderId="9" xfId="0" applyNumberFormat="1" applyFont="1" applyFill="1" applyBorder="1" applyAlignment="1">
      <alignment horizontal="center" vertical="center"/>
    </xf>
    <xf numFmtId="8" fontId="13" fillId="3" borderId="13" xfId="0" applyNumberFormat="1" applyFont="1" applyFill="1" applyBorder="1" applyAlignment="1">
      <alignment horizontal="center" vertical="center"/>
    </xf>
    <xf numFmtId="0" fontId="10" fillId="3" borderId="2" xfId="0" applyFont="1" applyFill="1" applyBorder="1"/>
    <xf numFmtId="0" fontId="10" fillId="3" borderId="4" xfId="0" applyFont="1" applyFill="1" applyBorder="1"/>
    <xf numFmtId="8" fontId="13" fillId="8" borderId="3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/>
    </xf>
    <xf numFmtId="10" fontId="13" fillId="8" borderId="3" xfId="1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/>
    </xf>
    <xf numFmtId="10" fontId="13" fillId="8" borderId="5" xfId="1" applyNumberFormat="1" applyFont="1" applyFill="1" applyBorder="1" applyAlignment="1">
      <alignment horizontal="center" vertical="center"/>
    </xf>
    <xf numFmtId="0" fontId="15" fillId="4" borderId="0" xfId="3" applyFont="1" applyFill="1" applyBorder="1" applyAlignment="1">
      <alignment vertical="center"/>
    </xf>
    <xf numFmtId="0" fontId="10" fillId="7" borderId="31" xfId="0" applyFont="1" applyFill="1" applyBorder="1"/>
    <xf numFmtId="164" fontId="13" fillId="7" borderId="31" xfId="0" applyNumberFormat="1" applyFont="1" applyFill="1" applyBorder="1" applyAlignment="1">
      <alignment horizontal="center" vertical="center"/>
    </xf>
    <xf numFmtId="0" fontId="13" fillId="7" borderId="32" xfId="0" applyFont="1" applyFill="1" applyBorder="1"/>
    <xf numFmtId="0" fontId="13" fillId="7" borderId="33" xfId="0" applyFont="1" applyFill="1" applyBorder="1"/>
    <xf numFmtId="164" fontId="13" fillId="7" borderId="34" xfId="0" applyNumberFormat="1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vertical="center"/>
    </xf>
    <xf numFmtId="0" fontId="3" fillId="3" borderId="24" xfId="0" applyFont="1" applyFill="1" applyBorder="1" applyAlignment="1">
      <alignment vertical="center"/>
    </xf>
    <xf numFmtId="0" fontId="11" fillId="3" borderId="22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10" fillId="3" borderId="50" xfId="0" applyFont="1" applyFill="1" applyBorder="1"/>
    <xf numFmtId="9" fontId="10" fillId="3" borderId="51" xfId="1" applyFont="1" applyFill="1" applyBorder="1" applyAlignment="1">
      <alignment horizontal="center" vertical="center"/>
    </xf>
    <xf numFmtId="164" fontId="10" fillId="3" borderId="52" xfId="0" applyNumberFormat="1" applyFont="1" applyFill="1" applyBorder="1" applyAlignment="1">
      <alignment horizontal="center" vertical="center"/>
    </xf>
    <xf numFmtId="9" fontId="10" fillId="3" borderId="9" xfId="1" applyFont="1" applyFill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10" fillId="3" borderId="53" xfId="0" applyFont="1" applyFill="1" applyBorder="1"/>
    <xf numFmtId="9" fontId="10" fillId="3" borderId="54" xfId="1" applyFont="1" applyFill="1" applyBorder="1" applyAlignment="1">
      <alignment horizontal="center" vertical="center"/>
    </xf>
    <xf numFmtId="164" fontId="10" fillId="3" borderId="55" xfId="0" applyNumberFormat="1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9" fillId="2" borderId="15" xfId="0" applyFont="1" applyFill="1" applyBorder="1" applyAlignment="1">
      <alignment horizontal="left" vertical="center"/>
    </xf>
    <xf numFmtId="0" fontId="14" fillId="2" borderId="35" xfId="0" applyFont="1" applyFill="1" applyBorder="1" applyAlignment="1">
      <alignment horizontal="left" vertical="center"/>
    </xf>
    <xf numFmtId="0" fontId="14" fillId="2" borderId="36" xfId="0" applyFont="1" applyFill="1" applyBorder="1" applyAlignment="1">
      <alignment horizontal="left" vertical="center"/>
    </xf>
    <xf numFmtId="8" fontId="13" fillId="3" borderId="57" xfId="0" applyNumberFormat="1" applyFont="1" applyFill="1" applyBorder="1" applyAlignment="1">
      <alignment horizontal="center" vertical="center"/>
    </xf>
    <xf numFmtId="0" fontId="9" fillId="2" borderId="58" xfId="0" applyFont="1" applyFill="1" applyBorder="1"/>
    <xf numFmtId="0" fontId="17" fillId="5" borderId="0" xfId="5" applyFont="1"/>
    <xf numFmtId="9" fontId="17" fillId="5" borderId="0" xfId="5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43" xfId="0" applyFill="1" applyBorder="1"/>
    <xf numFmtId="0" fontId="0" fillId="3" borderId="44" xfId="0" applyFill="1" applyBorder="1"/>
    <xf numFmtId="9" fontId="0" fillId="3" borderId="45" xfId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8" xfId="0" applyFill="1" applyBorder="1"/>
    <xf numFmtId="9" fontId="0" fillId="3" borderId="39" xfId="1" applyFont="1" applyFill="1" applyBorder="1" applyAlignment="1">
      <alignment horizontal="center" vertical="center"/>
    </xf>
    <xf numFmtId="0" fontId="0" fillId="3" borderId="40" xfId="0" applyFill="1" applyBorder="1"/>
    <xf numFmtId="0" fontId="0" fillId="3" borderId="41" xfId="0" applyFill="1" applyBorder="1"/>
    <xf numFmtId="9" fontId="0" fillId="3" borderId="42" xfId="1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left" vertical="center"/>
    </xf>
    <xf numFmtId="0" fontId="9" fillId="6" borderId="28" xfId="0" applyFont="1" applyFill="1" applyBorder="1" applyAlignment="1">
      <alignment horizontal="left" vertical="center"/>
    </xf>
    <xf numFmtId="0" fontId="9" fillId="6" borderId="29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30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horizontal="left" vertical="center"/>
    </xf>
  </cellXfs>
  <cellStyles count="6">
    <cellStyle name="Moeda" xfId="2" builtinId="4"/>
    <cellStyle name="Neutro" xfId="5" builtinId="28"/>
    <cellStyle name="Normal" xfId="0" builtinId="0"/>
    <cellStyle name="Porcentagem" xfId="1" builtinId="5"/>
    <cellStyle name="Título 1" xfId="3" builtinId="16"/>
    <cellStyle name="Título 2" xfId="4" builtinId="17"/>
  </cellStyles>
  <dxfs count="0"/>
  <tableStyles count="0" defaultTableStyle="TableStyleMedium2" defaultPivotStyle="PivotStyleLight16"/>
  <colors>
    <mruColors>
      <color rgb="FF248C82"/>
      <color rgb="FF02CA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n-US" sz="1200">
                <a:latin typeface="Segoe UI Light" panose="020B0502040204020203" pitchFamily="34" charset="0"/>
                <a:cs typeface="Segoe UI Light" panose="020B0502040204020203" pitchFamily="34" charset="0"/>
              </a:rPr>
              <a:t>Distribuição</a:t>
            </a:r>
            <a:r>
              <a:rPr lang="en-US" sz="1200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Sugerida</a:t>
            </a:r>
            <a:r>
              <a:rPr lang="en-US" sz="1200">
                <a:latin typeface="Segoe UI Light" panose="020B0502040204020203" pitchFamily="34" charset="0"/>
                <a:cs typeface="Segoe UI Light" panose="020B0502040204020203" pitchFamily="34" charset="0"/>
              </a:rPr>
              <a:t> Por</a:t>
            </a:r>
            <a:r>
              <a:rPr lang="en-US" sz="1200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Tipo de FII</a:t>
            </a:r>
            <a:endParaRPr lang="en-US" sz="1200">
              <a:latin typeface="Segoe UI Light" panose="020B0502040204020203" pitchFamily="34" charset="0"/>
              <a:cs typeface="Segoe UI Light" panose="020B0502040204020203" pitchFamily="34" charset="0"/>
            </a:endParaRPr>
          </a:p>
        </c:rich>
      </c:tx>
      <c:layout>
        <c:manualLayout>
          <c:xMode val="edge"/>
          <c:yMode val="edge"/>
          <c:x val="0.13391175293396515"/>
          <c:y val="4.1198151561545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'Simulador FII'!$C$40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D3-46EE-B5DE-32195FBF1B5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D3-46EE-B5DE-32195FBF1B5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D3-46EE-B5DE-32195FBF1B5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8D3-46EE-B5DE-32195FBF1B5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8D3-46EE-B5DE-32195FBF1B5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8D3-46EE-B5DE-32195FBF1B5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8D3-46EE-B5DE-32195FBF1B5D}"/>
              </c:ext>
            </c:extLst>
          </c:dPt>
          <c:cat>
            <c:strRef>
              <c:f>'Simulador FII'!$B$41:$B$47</c:f>
              <c:strCache>
                <c:ptCount val="7"/>
                <c:pt idx="0">
                  <c:v>Papel </c:v>
                </c:pt>
                <c:pt idx="1">
                  <c:v>Tijolo</c:v>
                </c:pt>
                <c:pt idx="2">
                  <c:v>Híbridos 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 </c:v>
                </c:pt>
                <c:pt idx="6">
                  <c:v>TOTAL</c:v>
                </c:pt>
              </c:strCache>
            </c:strRef>
          </c:cat>
          <c:val>
            <c:numRef>
              <c:f>'Simulador FII'!$C$41:$C$47</c:f>
              <c:numCache>
                <c:formatCode>0%</c:formatCode>
                <c:ptCount val="7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9-4CD1-9765-139A17C88735}"/>
            </c:ext>
          </c:extLst>
        </c:ser>
        <c:ser>
          <c:idx val="1"/>
          <c:order val="1"/>
          <c:tx>
            <c:strRef>
              <c:f>'Simulador FII'!$D$40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8D3-46EE-B5DE-32195FBF1B5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B8D3-46EE-B5DE-32195FBF1B5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B8D3-46EE-B5DE-32195FBF1B5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B8D3-46EE-B5DE-32195FBF1B5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B8D3-46EE-B5DE-32195FBF1B5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B8D3-46EE-B5DE-32195FBF1B5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B8D3-46EE-B5DE-32195FBF1B5D}"/>
              </c:ext>
            </c:extLst>
          </c:dPt>
          <c:cat>
            <c:strRef>
              <c:f>'Simulador FII'!$B$41:$B$47</c:f>
              <c:strCache>
                <c:ptCount val="7"/>
                <c:pt idx="0">
                  <c:v>Papel </c:v>
                </c:pt>
                <c:pt idx="1">
                  <c:v>Tijolo</c:v>
                </c:pt>
                <c:pt idx="2">
                  <c:v>Híbridos 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 </c:v>
                </c:pt>
                <c:pt idx="6">
                  <c:v>TOTAL</c:v>
                </c:pt>
              </c:strCache>
            </c:strRef>
          </c:cat>
          <c:val>
            <c:numRef>
              <c:f>'Simulador FII'!$D$41:$D$47</c:f>
              <c:numCache>
                <c:formatCode>"R$"\ #,##0.00</c:formatCode>
                <c:ptCount val="7"/>
                <c:pt idx="0">
                  <c:v>300</c:v>
                </c:pt>
                <c:pt idx="1">
                  <c:v>60</c:v>
                </c:pt>
                <c:pt idx="2">
                  <c:v>30</c:v>
                </c:pt>
                <c:pt idx="3">
                  <c:v>30</c:v>
                </c:pt>
                <c:pt idx="4">
                  <c:v>120</c:v>
                </c:pt>
                <c:pt idx="5">
                  <c:v>60</c:v>
                </c:pt>
                <c:pt idx="6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9-4CD1-9765-139A17C88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0"/>
          <c:y val="0.70310995502792351"/>
          <c:w val="0.98804630713641994"/>
          <c:h val="0.29689017364049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37352</xdr:colOff>
      <xdr:row>26</xdr:row>
      <xdr:rowOff>95948</xdr:rowOff>
    </xdr:from>
    <xdr:to>
      <xdr:col>5</xdr:col>
      <xdr:colOff>0</xdr:colOff>
      <xdr:row>38</xdr:row>
      <xdr:rowOff>168087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018A7C-6E0E-DED1-DAA2-9D4B67099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200024</xdr:colOff>
      <xdr:row>0</xdr:row>
      <xdr:rowOff>0</xdr:rowOff>
    </xdr:from>
    <xdr:to>
      <xdr:col>4</xdr:col>
      <xdr:colOff>66675</xdr:colOff>
      <xdr:row>8</xdr:row>
      <xdr:rowOff>66675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CBAB5E74-E62E-5807-6A1E-9ACC1FE16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0"/>
          <a:ext cx="7553326" cy="1590675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2000251</xdr:colOff>
      <xdr:row>35</xdr:row>
      <xdr:rowOff>9525</xdr:rowOff>
    </xdr:from>
    <xdr:to>
      <xdr:col>3</xdr:col>
      <xdr:colOff>47625</xdr:colOff>
      <xdr:row>36</xdr:row>
      <xdr:rowOff>57150</xdr:rowOff>
    </xdr:to>
    <xdr:pic>
      <xdr:nvPicPr>
        <xdr:cNvPr id="4" name="Gráfico 3" descr="Filtro estrutura de tópicos">
          <a:extLst>
            <a:ext uri="{FF2B5EF4-FFF2-40B4-BE49-F238E27FC236}">
              <a16:creationId xmlns:a16="http://schemas.microsoft.com/office/drawing/2014/main" id="{C862436E-301F-E42B-981B-AA6A900FF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724401" y="8172450"/>
          <a:ext cx="380999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3266-F711-40C5-916B-C17AE9C1DA56}">
  <dimension ref="A10:I59"/>
  <sheetViews>
    <sheetView showGridLines="0" showRowColHeaders="0" tabSelected="1" zoomScaleNormal="100" workbookViewId="0">
      <selection activeCell="C31" sqref="C3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3.85546875" customWidth="1"/>
    <col min="2" max="2" width="37" customWidth="1"/>
    <col min="3" max="3" width="35" bestFit="1" customWidth="1"/>
    <col min="4" max="4" width="39.42578125" customWidth="1"/>
    <col min="5" max="5" width="4" customWidth="1"/>
    <col min="6" max="6" width="15.140625" hidden="1" customWidth="1"/>
    <col min="7" max="7" width="5.140625" hidden="1" customWidth="1"/>
    <col min="8" max="8" width="9.140625" hidden="1" customWidth="1"/>
    <col min="9" max="9" width="7.140625" hidden="1" customWidth="1"/>
    <col min="10" max="10" width="9.140625" hidden="1" customWidth="1"/>
    <col min="11" max="16384" width="9.140625" hidden="1"/>
  </cols>
  <sheetData>
    <row r="10" spans="2:4" ht="30.75" x14ac:dyDescent="0.25">
      <c r="B10" s="76" t="s">
        <v>8</v>
      </c>
      <c r="C10" s="77"/>
      <c r="D10" s="78"/>
    </row>
    <row r="11" spans="2:4" ht="16.5" x14ac:dyDescent="0.3">
      <c r="B11" s="14" t="s">
        <v>29</v>
      </c>
      <c r="C11" s="3"/>
      <c r="D11" s="19">
        <v>2000</v>
      </c>
    </row>
    <row r="12" spans="2:4" ht="16.5" x14ac:dyDescent="0.3">
      <c r="B12" s="14" t="s">
        <v>43</v>
      </c>
      <c r="C12" s="3"/>
      <c r="D12" s="20">
        <v>8.9999999999999993E-3</v>
      </c>
    </row>
    <row r="13" spans="2:4" ht="17.25" thickBot="1" x14ac:dyDescent="0.35">
      <c r="B13" s="15" t="s">
        <v>39</v>
      </c>
      <c r="C13" s="4"/>
      <c r="D13" s="21">
        <f>salario*30%</f>
        <v>600</v>
      </c>
    </row>
    <row r="15" spans="2:4" ht="30.75" x14ac:dyDescent="0.25">
      <c r="B15" s="79" t="s">
        <v>40</v>
      </c>
      <c r="C15" s="80"/>
      <c r="D15" s="81"/>
    </row>
    <row r="16" spans="2:4" ht="18" thickBot="1" x14ac:dyDescent="0.3">
      <c r="B16" s="45" t="s">
        <v>30</v>
      </c>
      <c r="C16" s="46"/>
      <c r="D16" s="22">
        <v>600</v>
      </c>
    </row>
    <row r="17" spans="2:7" ht="18" thickBot="1" x14ac:dyDescent="0.3">
      <c r="B17" s="47" t="s">
        <v>44</v>
      </c>
      <c r="C17" s="48"/>
      <c r="D17" s="23">
        <v>5</v>
      </c>
    </row>
    <row r="18" spans="2:7" ht="18" thickBot="1" x14ac:dyDescent="0.3">
      <c r="B18" s="47" t="s">
        <v>31</v>
      </c>
      <c r="C18" s="48"/>
      <c r="D18" s="24">
        <v>1.0789999999999999E-2</v>
      </c>
    </row>
    <row r="19" spans="2:7" ht="18" thickBot="1" x14ac:dyDescent="0.3">
      <c r="B19" s="16" t="s">
        <v>0</v>
      </c>
      <c r="C19" s="5"/>
      <c r="D19" s="25">
        <f>FV(taxa_mensal,qtd_anos*12,aporte*-1)</f>
        <v>50266.148399092584</v>
      </c>
    </row>
    <row r="20" spans="2:7" ht="30" customHeight="1" thickBot="1" x14ac:dyDescent="0.3">
      <c r="B20" s="17" t="s">
        <v>1</v>
      </c>
      <c r="C20" s="6"/>
      <c r="D20" s="26">
        <f>patrimonio*rendimento_carteira</f>
        <v>452.3953355918332</v>
      </c>
      <c r="G20" s="2"/>
    </row>
    <row r="21" spans="2:7" ht="17.25" thickBot="1" x14ac:dyDescent="0.35">
      <c r="B21" s="18" t="s">
        <v>32</v>
      </c>
      <c r="C21" s="10"/>
      <c r="D21" s="10"/>
    </row>
    <row r="22" spans="2:7" ht="31.5" thickBot="1" x14ac:dyDescent="0.6">
      <c r="B22" s="27" t="s">
        <v>7</v>
      </c>
      <c r="C22" s="63" t="s">
        <v>42</v>
      </c>
      <c r="D22" s="59" t="s">
        <v>9</v>
      </c>
    </row>
    <row r="23" spans="2:7" ht="17.25" thickBot="1" x14ac:dyDescent="0.35">
      <c r="B23" s="32" t="s">
        <v>2</v>
      </c>
      <c r="C23" s="62">
        <f>FV(taxa_mensal,2*12,aporte*-1)</f>
        <v>16336.57637858713</v>
      </c>
      <c r="D23" s="25">
        <f>C23*rendimento_carteira</f>
        <v>147.02918740728416</v>
      </c>
    </row>
    <row r="24" spans="2:7" ht="17.25" thickBot="1" x14ac:dyDescent="0.35">
      <c r="B24" s="32" t="s">
        <v>3</v>
      </c>
      <c r="C24" s="30">
        <f>FV(taxa_mensal,5*12,aporte*-1)</f>
        <v>50266.148399092584</v>
      </c>
      <c r="D24" s="25">
        <f>C24*rendimento_carteira</f>
        <v>452.3953355918332</v>
      </c>
    </row>
    <row r="25" spans="2:7" ht="17.25" thickBot="1" x14ac:dyDescent="0.35">
      <c r="B25" s="32" t="s">
        <v>4</v>
      </c>
      <c r="C25" s="30">
        <f>FV(taxa_mensal,10*12,aporte*-1)</f>
        <v>145970.52751810331</v>
      </c>
      <c r="D25" s="25">
        <f>C25*rendimento_carteira</f>
        <v>1313.7347476629297</v>
      </c>
    </row>
    <row r="26" spans="2:7" ht="17.25" thickBot="1" x14ac:dyDescent="0.35">
      <c r="B26" s="32" t="s">
        <v>5</v>
      </c>
      <c r="C26" s="30">
        <f>FV(taxa_mensal,15*12,aporte*-1)</f>
        <v>328187.15788003255</v>
      </c>
      <c r="D26" s="29">
        <f>C26*rendimento_carteira</f>
        <v>2953.6844209202927</v>
      </c>
    </row>
    <row r="27" spans="2:7" ht="17.25" thickBot="1" x14ac:dyDescent="0.35">
      <c r="B27" s="33" t="s">
        <v>6</v>
      </c>
      <c r="C27" s="31">
        <f>FV(taxa_mensal,20*12,aporte*-1)</f>
        <v>675119.04005824833</v>
      </c>
      <c r="D27" s="28">
        <f>C27*rendimento_carteira</f>
        <v>6076.0713605242345</v>
      </c>
    </row>
    <row r="28" spans="2:7" ht="15.75" thickBot="1" x14ac:dyDescent="0.3">
      <c r="B28" s="12"/>
      <c r="C28" s="11"/>
      <c r="D28" s="13"/>
    </row>
    <row r="29" spans="2:7" ht="24.75" thickBot="1" x14ac:dyDescent="0.3">
      <c r="B29" s="82" t="s">
        <v>33</v>
      </c>
      <c r="C29" s="83"/>
    </row>
    <row r="30" spans="2:7" ht="17.25" thickBot="1" x14ac:dyDescent="0.35">
      <c r="B30" s="32" t="s">
        <v>34</v>
      </c>
      <c r="C30" s="34">
        <v>3000</v>
      </c>
    </row>
    <row r="31" spans="2:7" ht="17.25" thickBot="1" x14ac:dyDescent="0.35">
      <c r="B31" s="35" t="s">
        <v>45</v>
      </c>
      <c r="C31" s="36">
        <v>8.9999999999999993E-3</v>
      </c>
    </row>
    <row r="32" spans="2:7" ht="17.25" thickBot="1" x14ac:dyDescent="0.35">
      <c r="B32" s="35" t="s">
        <v>35</v>
      </c>
      <c r="C32" s="34">
        <f>IFERROR(C30/C31,0)</f>
        <v>333333.33333333337</v>
      </c>
    </row>
    <row r="33" spans="2:4" ht="17.25" thickBot="1" x14ac:dyDescent="0.35">
      <c r="B33" s="35" t="s">
        <v>36</v>
      </c>
      <c r="C33" s="34">
        <f>patrimonio</f>
        <v>50266.148399092584</v>
      </c>
    </row>
    <row r="34" spans="2:4" ht="17.25" thickBot="1" x14ac:dyDescent="0.35">
      <c r="B34" s="35" t="s">
        <v>37</v>
      </c>
      <c r="C34" s="34">
        <f>MAX(C32-C33)</f>
        <v>283067.18493424077</v>
      </c>
    </row>
    <row r="35" spans="2:4" ht="17.25" thickBot="1" x14ac:dyDescent="0.35">
      <c r="B35" s="37" t="s">
        <v>38</v>
      </c>
      <c r="C35" s="38">
        <f>IFERROR(C33/C32,0)</f>
        <v>0.15079844519727773</v>
      </c>
    </row>
    <row r="36" spans="2:4" x14ac:dyDescent="0.25">
      <c r="C36" s="58" t="s">
        <v>41</v>
      </c>
    </row>
    <row r="37" spans="2:4" ht="24.75" thickBot="1" x14ac:dyDescent="0.3">
      <c r="B37" s="39" t="s">
        <v>10</v>
      </c>
      <c r="C37" s="39" t="s">
        <v>11</v>
      </c>
    </row>
    <row r="38" spans="2:4" ht="17.25" thickTop="1" x14ac:dyDescent="0.3">
      <c r="B38" s="40" t="s">
        <v>12</v>
      </c>
      <c r="C38" s="41">
        <f>aporte</f>
        <v>600</v>
      </c>
    </row>
    <row r="39" spans="2:4" ht="15.75" thickBot="1" x14ac:dyDescent="0.3"/>
    <row r="40" spans="2:4" ht="24.75" thickBot="1" x14ac:dyDescent="0.3">
      <c r="B40" s="60" t="s">
        <v>13</v>
      </c>
      <c r="C40" s="57" t="s">
        <v>14</v>
      </c>
      <c r="D40" s="61" t="s">
        <v>15</v>
      </c>
    </row>
    <row r="41" spans="2:4" ht="17.25" thickBot="1" x14ac:dyDescent="0.35">
      <c r="B41" s="49" t="s">
        <v>16</v>
      </c>
      <c r="C41" s="50">
        <f>VLOOKUP($C$37&amp;"-"&amp;B41,Apoio!B3:E21,4,FALSE)</f>
        <v>0.5</v>
      </c>
      <c r="D41" s="51">
        <f>C41*$C38</f>
        <v>300</v>
      </c>
    </row>
    <row r="42" spans="2:4" ht="17.25" thickBot="1" x14ac:dyDescent="0.35">
      <c r="B42" s="32" t="s">
        <v>17</v>
      </c>
      <c r="C42" s="52">
        <f>VLOOKUP($C$37&amp;"-"&amp;B42,Apoio!B4:E22,4,FALSE)</f>
        <v>0.1</v>
      </c>
      <c r="D42" s="53">
        <f>C42*C38</f>
        <v>60</v>
      </c>
    </row>
    <row r="43" spans="2:4" ht="17.25" thickBot="1" x14ac:dyDescent="0.35">
      <c r="B43" s="32" t="s">
        <v>18</v>
      </c>
      <c r="C43" s="52">
        <f>VLOOKUP($C$37&amp;"-"&amp;B43,Apoio!B5:E23,4,FALSE)</f>
        <v>0.05</v>
      </c>
      <c r="D43" s="53">
        <f>C43*C38</f>
        <v>30</v>
      </c>
    </row>
    <row r="44" spans="2:4" ht="17.25" thickBot="1" x14ac:dyDescent="0.35">
      <c r="B44" s="32" t="s">
        <v>19</v>
      </c>
      <c r="C44" s="52">
        <f>VLOOKUP($C$37&amp;"-"&amp;B44,Apoio!B6:E24,4,FALSE)</f>
        <v>0.05</v>
      </c>
      <c r="D44" s="53">
        <f>C44*C38</f>
        <v>30</v>
      </c>
    </row>
    <row r="45" spans="2:4" ht="17.25" thickBot="1" x14ac:dyDescent="0.35">
      <c r="B45" s="32" t="s">
        <v>20</v>
      </c>
      <c r="C45" s="52">
        <f>VLOOKUP($C$37&amp;"-"&amp;B45,Apoio!B7:E25,4,FALSE)</f>
        <v>0.2</v>
      </c>
      <c r="D45" s="53">
        <f>C45*C38</f>
        <v>120</v>
      </c>
    </row>
    <row r="46" spans="2:4" ht="17.25" thickBot="1" x14ac:dyDescent="0.35">
      <c r="B46" s="54" t="s">
        <v>21</v>
      </c>
      <c r="C46" s="55">
        <f>VLOOKUP($C$37&amp;"-"&amp;B46,Apoio!B8:E26,4,FALSE)</f>
        <v>0.1</v>
      </c>
      <c r="D46" s="56">
        <f>C46*C38</f>
        <v>60</v>
      </c>
    </row>
    <row r="47" spans="2:4" ht="17.25" thickBot="1" x14ac:dyDescent="0.35">
      <c r="B47" s="42" t="s">
        <v>23</v>
      </c>
      <c r="C47" s="43"/>
      <c r="D47" s="44">
        <f>SUM(D41:D46)</f>
        <v>600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</sheetData>
  <mergeCells count="3">
    <mergeCell ref="B10:D10"/>
    <mergeCell ref="B15:D15"/>
    <mergeCell ref="B29:C29"/>
  </mergeCells>
  <dataValidations count="1">
    <dataValidation type="list" allowBlank="1" showInputMessage="1" showErrorMessage="1" sqref="C37" xr:uid="{30328EBA-C235-4636-B405-DF614D6F174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F6073FB-9A95-4E0A-ADA8-8A30C3D5A519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'Simulador FII'!C35:C35</xm:f>
              <xm:sqref>D35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34C3-44E8-4E19-9A3F-903B10B9D033}">
  <dimension ref="B2:I22"/>
  <sheetViews>
    <sheetView showGridLines="0" showRowColHeaders="0" workbookViewId="0">
      <selection activeCell="H5" sqref="H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.85546875" customWidth="1"/>
    <col min="2" max="2" width="28.42578125" bestFit="1" customWidth="1"/>
    <col min="3" max="3" width="12.140625" bestFit="1" customWidth="1"/>
    <col min="4" max="4" width="16.140625" bestFit="1" customWidth="1"/>
    <col min="7" max="8" width="15.85546875" bestFit="1" customWidth="1"/>
  </cols>
  <sheetData>
    <row r="2" spans="2:9" ht="15.75" thickBot="1" x14ac:dyDescent="0.3"/>
    <row r="3" spans="2:9" ht="25.5" thickTop="1" thickBot="1" x14ac:dyDescent="0.5">
      <c r="B3" s="7" t="s">
        <v>26</v>
      </c>
      <c r="C3" s="8" t="s">
        <v>24</v>
      </c>
      <c r="D3" s="8" t="s">
        <v>13</v>
      </c>
      <c r="E3" s="9" t="s">
        <v>22</v>
      </c>
    </row>
    <row r="4" spans="2:9" ht="17.25" thickTop="1" x14ac:dyDescent="0.25">
      <c r="B4" s="67" t="str">
        <f>C4&amp;"-"&amp;D4</f>
        <v xml:space="preserve">Conservador-Papel </v>
      </c>
      <c r="C4" s="68" t="s">
        <v>25</v>
      </c>
      <c r="D4" s="68" t="s">
        <v>16</v>
      </c>
      <c r="E4" s="69">
        <v>0.3</v>
      </c>
      <c r="H4" s="66" t="s">
        <v>22</v>
      </c>
      <c r="I4" s="1"/>
    </row>
    <row r="5" spans="2:9" ht="16.5" x14ac:dyDescent="0.3">
      <c r="B5" s="70" t="str">
        <f t="shared" ref="B5:B9" si="0">C5&amp;"-"&amp;D5</f>
        <v>Conservador-Tijolo</v>
      </c>
      <c r="C5" s="71" t="s">
        <v>25</v>
      </c>
      <c r="D5" s="71" t="s">
        <v>17</v>
      </c>
      <c r="E5" s="72">
        <v>0.5</v>
      </c>
      <c r="G5" s="64" t="s">
        <v>28</v>
      </c>
      <c r="H5" s="65">
        <f>VLOOKUP(G5,B3:E21,4,FALSE)</f>
        <v>0.35</v>
      </c>
    </row>
    <row r="6" spans="2:9" x14ac:dyDescent="0.25">
      <c r="B6" s="70" t="str">
        <f t="shared" si="0"/>
        <v xml:space="preserve">Conservador-Híbridos </v>
      </c>
      <c r="C6" s="71" t="s">
        <v>25</v>
      </c>
      <c r="D6" s="71" t="s">
        <v>18</v>
      </c>
      <c r="E6" s="72">
        <v>0.1</v>
      </c>
    </row>
    <row r="7" spans="2:9" x14ac:dyDescent="0.25">
      <c r="B7" s="70" t="str">
        <f t="shared" si="0"/>
        <v>Conservador-FOFs</v>
      </c>
      <c r="C7" s="71" t="s">
        <v>25</v>
      </c>
      <c r="D7" s="71" t="s">
        <v>19</v>
      </c>
      <c r="E7" s="72">
        <v>0.1</v>
      </c>
    </row>
    <row r="8" spans="2:9" x14ac:dyDescent="0.25">
      <c r="B8" s="70" t="str">
        <f t="shared" si="0"/>
        <v>Conservador-Desenvolvimento</v>
      </c>
      <c r="C8" s="71" t="s">
        <v>25</v>
      </c>
      <c r="D8" s="71" t="s">
        <v>20</v>
      </c>
      <c r="E8" s="72">
        <v>0</v>
      </c>
    </row>
    <row r="9" spans="2:9" ht="15.75" thickBot="1" x14ac:dyDescent="0.3">
      <c r="B9" s="73" t="str">
        <f t="shared" si="0"/>
        <v xml:space="preserve">Conservador-Hotelarias </v>
      </c>
      <c r="C9" s="74" t="s">
        <v>25</v>
      </c>
      <c r="D9" s="74" t="s">
        <v>21</v>
      </c>
      <c r="E9" s="75">
        <v>0</v>
      </c>
    </row>
    <row r="10" spans="2:9" ht="15.75" thickTop="1" x14ac:dyDescent="0.25">
      <c r="B10" s="67" t="str">
        <f>C10&amp;"-"&amp;D10</f>
        <v xml:space="preserve">Moderado-Papel </v>
      </c>
      <c r="C10" s="68" t="s">
        <v>27</v>
      </c>
      <c r="D10" s="68" t="s">
        <v>16</v>
      </c>
      <c r="E10" s="69">
        <v>0.32</v>
      </c>
    </row>
    <row r="11" spans="2:9" x14ac:dyDescent="0.25">
      <c r="B11" s="70" t="str">
        <f t="shared" ref="B11:B15" si="1">C11&amp;"-"&amp;D11</f>
        <v>Moderado-Tijolo</v>
      </c>
      <c r="C11" s="71" t="s">
        <v>27</v>
      </c>
      <c r="D11" s="71" t="s">
        <v>17</v>
      </c>
      <c r="E11" s="72">
        <v>0.35</v>
      </c>
    </row>
    <row r="12" spans="2:9" x14ac:dyDescent="0.25">
      <c r="B12" s="70" t="str">
        <f t="shared" si="1"/>
        <v xml:space="preserve">Moderado-Híbridos </v>
      </c>
      <c r="C12" s="71" t="s">
        <v>27</v>
      </c>
      <c r="D12" s="71" t="s">
        <v>18</v>
      </c>
      <c r="E12" s="72">
        <v>0.08</v>
      </c>
    </row>
    <row r="13" spans="2:9" x14ac:dyDescent="0.25">
      <c r="B13" s="70" t="str">
        <f t="shared" si="1"/>
        <v>Moderado-FOFs</v>
      </c>
      <c r="C13" s="71" t="s">
        <v>27</v>
      </c>
      <c r="D13" s="71" t="s">
        <v>19</v>
      </c>
      <c r="E13" s="72">
        <v>0.05</v>
      </c>
    </row>
    <row r="14" spans="2:9" x14ac:dyDescent="0.25">
      <c r="B14" s="70" t="str">
        <f t="shared" si="1"/>
        <v>Moderado-Desenvolvimento</v>
      </c>
      <c r="C14" s="71" t="s">
        <v>27</v>
      </c>
      <c r="D14" s="71" t="s">
        <v>20</v>
      </c>
      <c r="E14" s="72">
        <v>0.1</v>
      </c>
    </row>
    <row r="15" spans="2:9" ht="15.75" thickBot="1" x14ac:dyDescent="0.3">
      <c r="B15" s="73" t="str">
        <f t="shared" si="1"/>
        <v xml:space="preserve">Moderado-Hotelarias </v>
      </c>
      <c r="C15" s="74" t="s">
        <v>27</v>
      </c>
      <c r="D15" s="74" t="s">
        <v>21</v>
      </c>
      <c r="E15" s="75">
        <v>0.1</v>
      </c>
    </row>
    <row r="16" spans="2:9" ht="15.75" thickTop="1" x14ac:dyDescent="0.25">
      <c r="B16" s="67" t="str">
        <f>C16&amp;"-"&amp;D16</f>
        <v xml:space="preserve">Agressivo-Papel </v>
      </c>
      <c r="C16" s="68" t="s">
        <v>11</v>
      </c>
      <c r="D16" s="68" t="s">
        <v>16</v>
      </c>
      <c r="E16" s="69">
        <v>0.5</v>
      </c>
    </row>
    <row r="17" spans="2:5" x14ac:dyDescent="0.25">
      <c r="B17" s="70" t="str">
        <f t="shared" ref="B17:B21" si="2">C17&amp;"-"&amp;D17</f>
        <v>Agressivo-Tijolo</v>
      </c>
      <c r="C17" s="71" t="s">
        <v>11</v>
      </c>
      <c r="D17" s="71" t="s">
        <v>17</v>
      </c>
      <c r="E17" s="72">
        <v>0.1</v>
      </c>
    </row>
    <row r="18" spans="2:5" x14ac:dyDescent="0.25">
      <c r="B18" s="70" t="str">
        <f t="shared" si="2"/>
        <v xml:space="preserve">Agressivo-Híbridos </v>
      </c>
      <c r="C18" s="71" t="s">
        <v>11</v>
      </c>
      <c r="D18" s="71" t="s">
        <v>18</v>
      </c>
      <c r="E18" s="72">
        <v>0.05</v>
      </c>
    </row>
    <row r="19" spans="2:5" x14ac:dyDescent="0.25">
      <c r="B19" s="70" t="str">
        <f t="shared" si="2"/>
        <v>Agressivo-FOFs</v>
      </c>
      <c r="C19" s="71" t="s">
        <v>11</v>
      </c>
      <c r="D19" s="71" t="s">
        <v>19</v>
      </c>
      <c r="E19" s="72">
        <v>0.05</v>
      </c>
    </row>
    <row r="20" spans="2:5" x14ac:dyDescent="0.25">
      <c r="B20" s="70" t="str">
        <f t="shared" si="2"/>
        <v>Agressivo-Desenvolvimento</v>
      </c>
      <c r="C20" s="71" t="s">
        <v>11</v>
      </c>
      <c r="D20" s="71" t="s">
        <v>20</v>
      </c>
      <c r="E20" s="72">
        <v>0.2</v>
      </c>
    </row>
    <row r="21" spans="2:5" ht="15.75" thickBot="1" x14ac:dyDescent="0.3">
      <c r="B21" s="73" t="str">
        <f t="shared" si="2"/>
        <v xml:space="preserve">Agressivo-Hotelarias </v>
      </c>
      <c r="C21" s="74" t="s">
        <v>11</v>
      </c>
      <c r="D21" s="74" t="s">
        <v>21</v>
      </c>
      <c r="E21" s="75">
        <v>0.1</v>
      </c>
    </row>
    <row r="22" spans="2:5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 FII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Boscolo de Sant'ana</dc:creator>
  <cp:lastModifiedBy>Marian Bernardini</cp:lastModifiedBy>
  <dcterms:created xsi:type="dcterms:W3CDTF">2026-08-24T23:33:24Z</dcterms:created>
  <dcterms:modified xsi:type="dcterms:W3CDTF">2026-08-27T23:35:15Z</dcterms:modified>
</cp:coreProperties>
</file>